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" sheetId="1" state="visible" r:id="rId3"/>
    <sheet name="Comentá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<sst xmlns="http://schemas.openxmlformats.org/spreadsheetml/2006/main" count="43" uniqueCount="36">
  <si>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t xml:space="preserve">SKU</t>
  </si>
  <si>
    <t xml:space="preserve">Custo do Fornecedor</t>
  </si>
  <si>
    <t xml:space="preserve">DEMO-001</t>
  </si>
  <si>
    <t xml:space="preserve">DEMO-002</t>
  </si>
  <si>
    <t xml:space="preserve">DEMO-003</t>
  </si>
  <si>
    <t xml:space="preserve">DEMO-004</t>
  </si>
  <si>
    <t xml:space="preserve">DEMO-005</t>
  </si>
  <si>
    <t xml:space="preserve">DEMO-006</t>
  </si>
  <si>
    <t xml:space="preserve">Demo: resultado esperado do auditor</t>
  </si>
  <si>
    <t xml:space="preserve">Todos os dados deste arquivo e do anuncios_ml.csv são fictícios, criados apenas para demonstração.</t>
  </si>
  <si>
    <t xml:space="preserve">Regra do auditor: alerta se a margem for menor que a mínima ou se o lucro for negativo.  Lucro = preço − comissão − frete − custo.  Margem = lucro ÷ preço.</t>
  </si>
  <si>
    <t xml:space="preserve">Frete: valores de exemplo (o CSV não traz o frete; o auditor real consulta a API do Mercado Livre). Preço e comissão vêm do CSV.</t>
  </si>
  <si>
    <t xml:space="preserve">Cores: azul = valor digitado · verde = puxado da aba Custos · preto = fórmula. Para usar seus próprios produtos, substitua o conteúdo da aba Custos.</t>
  </si>
  <si>
    <t xml:space="preserve">Margem mínima (MARGEM_MIN_PCT)</t>
  </si>
  <si>
    <t xml:space="preserve">Produto</t>
  </si>
  <si>
    <t xml:space="preserve">Preço (R$)</t>
  </si>
  <si>
    <t xml:space="preserve">Comissão (R$)</t>
  </si>
  <si>
    <t xml:space="preserve">Frete exemplo (R$)</t>
  </si>
  <si>
    <t xml:space="preserve">Custo (R$)</t>
  </si>
  <si>
    <t xml:space="preserve">Lucro (R$)</t>
  </si>
  <si>
    <t xml:space="preserve">Margem</t>
  </si>
  <si>
    <t xml:space="preserve">Resultado</t>
  </si>
  <si>
    <t xml:space="preserve">Comentário</t>
  </si>
  <si>
    <t xml:space="preserve">Caixa de Direção Hidráulica Modelo A 2005-2012</t>
  </si>
  <si>
    <t xml:space="preserve">Margem saudável (acima de 10%).</t>
  </si>
  <si>
    <t xml:space="preserve">Bomba de Combustível Elétrica Modelo B</t>
  </si>
  <si>
    <t xml:space="preserve">Lucro positivo, mas margem abaixo de 10%.</t>
  </si>
  <si>
    <t xml:space="preserve">Coxim do Motor Dianteiro Modelo C</t>
  </si>
  <si>
    <t xml:space="preserve">Margem quase zero: o custo consome o ganho.</t>
  </si>
  <si>
    <t xml:space="preserve">Pastilha de Freio Dianteira Modelo D</t>
  </si>
  <si>
    <t xml:space="preserve">Prejuízo: custo maior que o que sobra após comissão e frete.</t>
  </si>
  <si>
    <t xml:space="preserve">Kit Correia Dentada com Tensor Modelo E</t>
  </si>
  <si>
    <t xml:space="preserve">Margem acima de 10%.</t>
  </si>
  <si>
    <t xml:space="preserve">Junta da Tampa de Válvulas Modelo F</t>
  </si>
  <si>
    <t xml:space="preserve">Sem frete grátis (frete = 0), mas o custo ainda gera prejuízo.</t>
  </si>
  <si>
    <t xml:space="preserve">Resultado esperado: 4 produtos em ALERTA (DEMO-002, DEMO-003, DEMO-004, DEMO-006) e 2 OK (DEMO-001, DEMO-005).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</si>
</sst>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"/>
    <numFmt numFmtId="167" formatCode="0.0%"/>
    <numFmt numFmtId="168" formatCode="#,##0.00;[RED]\-#,##0.00;\-"/>
    <numFmt numFmtId="169" formatCode="0.0%;[RED]\-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290</v>
      </c>
    </row>
    <row r="3" customFormat="false" ht="15" hidden="false" customHeight="false" outlineLevel="0" collapsed="false">
      <c r="A3" s="2" t="s">
        <v>3</v>
      </c>
      <c r="B3" s="3" t="n">
        <v>235</v>
      </c>
    </row>
    <row r="4" customFormat="false" ht="15" hidden="false" customHeight="false" outlineLevel="0" collapsed="false">
      <c r="A4" s="2" t="s">
        <v>4</v>
      </c>
      <c r="B4" s="3" t="n">
        <v>142</v>
      </c>
    </row>
    <row r="5" customFormat="false" ht="15" hidden="false" customHeight="false" outlineLevel="0" collapsed="false">
      <c r="A5" s="2" t="s">
        <v>5</v>
      </c>
      <c r="B5" s="3" t="n">
        <v>100</v>
      </c>
    </row>
    <row r="6" customFormat="false" ht="15" hidden="false" customHeight="false" outlineLevel="0" collapsed="false">
      <c r="A6" s="2" t="s">
        <v>6</v>
      </c>
      <c r="B6" s="3" t="n">
        <v>165</v>
      </c>
    </row>
    <row r="7" customFormat="false" ht="15" hidden="false" customHeight="false" outlineLevel="0" collapsed="false">
      <c r="A7" s="2" t="s">
        <v>7</v>
      </c>
      <c r="B7" s="3" t="n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58"/>
  </cols>
  <sheetData>
    <row r="1" customFormat="false" ht="16.15" hidden="false" customHeight="false" outlineLevel="0" collapsed="false">
      <c r="A1" s="4" t="s">
        <v>8</v>
      </c>
    </row>
    <row r="2" customFormat="false" ht="15" hidden="false" customHeight="false" outlineLevel="0" collapsed="false">
      <c r="A2" s="5" t="s">
        <v>9</v>
      </c>
    </row>
    <row r="3" customFormat="false" ht="15" hidden="false" customHeight="false" outlineLevel="0" collapsed="false">
      <c r="A3" s="5" t="s">
        <v>10</v>
      </c>
    </row>
    <row r="4" customFormat="false" ht="15" hidden="false" customHeight="false" outlineLevel="0" collapsed="false">
      <c r="A4" s="5" t="s">
        <v>11</v>
      </c>
    </row>
    <row r="5" customFormat="false" ht="15" hidden="false" customHeight="false" outlineLevel="0" collapsed="false">
      <c r="A5" s="5" t="s">
        <v>12</v>
      </c>
    </row>
    <row r="7" customFormat="false" ht="15" hidden="false" customHeight="false" outlineLevel="0" collapsed="false">
      <c r="A7" s="6" t="s">
        <v>13</v>
      </c>
      <c r="B7" s="7" t="n">
        <v>0.1</v>
      </c>
    </row>
    <row r="9" customFormat="false" ht="26.85" hidden="false" customHeight="false" outlineLevel="0" collapsed="false">
      <c r="A9" s="8" t="s">
        <v>0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  <c r="J9" s="8" t="s">
        <v>22</v>
      </c>
    </row>
    <row r="10" customFormat="false" ht="15" hidden="false" customHeight="false" outlineLevel="0" collapsed="false">
      <c r="A10" s="9" t="s">
        <v>2</v>
      </c>
      <c r="B10" s="9" t="s">
        <v>23</v>
      </c>
      <c r="C10" s="10" t="n">
        <v>520</v>
      </c>
      <c r="D10" s="10" t="n">
        <v>88.4</v>
      </c>
      <c r="E10" s="10" t="n">
        <v>38.5</v>
      </c>
      <c r="F10" s="11" t="n">
        <f aca="false">INDEX(Custos!$B$2:$B$7,MATCH(A10,Custos!$A$2:$A$7,0))</f>
        <v>290</v>
      </c>
      <c r="G10" s="12" t="n">
        <f aca="false">C10-D10-E10-F10</f>
        <v>103.1</v>
      </c>
      <c r="H10" s="13" t="n">
        <f aca="false">G10/C10</f>
        <v>0.198269230769231</v>
      </c>
      <c r="I10" s="6" t="str">
        <f aca="false">IF(OR(H10&lt;$B$7,G10&lt;0),"ALERTA","OK")</f>
        <v>OK</v>
      </c>
      <c r="J10" s="5" t="s">
        <v>24</v>
      </c>
    </row>
    <row r="11" customFormat="false" ht="15" hidden="false" customHeight="false" outlineLevel="0" collapsed="false">
      <c r="A11" s="9" t="s">
        <v>3</v>
      </c>
      <c r="B11" s="9" t="s">
        <v>25</v>
      </c>
      <c r="C11" s="10" t="n">
        <v>340</v>
      </c>
      <c r="D11" s="10" t="n">
        <v>57.8</v>
      </c>
      <c r="E11" s="10" t="n">
        <v>33.2</v>
      </c>
      <c r="F11" s="11" t="n">
        <f aca="false">INDEX(Custos!$B$2:$B$7,MATCH(A11,Custos!$A$2:$A$7,0))</f>
        <v>235</v>
      </c>
      <c r="G11" s="12" t="n">
        <f aca="false">C11-D11-E11-F11</f>
        <v>14</v>
      </c>
      <c r="H11" s="13" t="n">
        <f aca="false">G11/C11</f>
        <v>0.0411764705882353</v>
      </c>
      <c r="I11" s="6" t="str">
        <f aca="false">IF(OR(H11&lt;$B$7,G11&lt;0),"ALERTA","OK")</f>
        <v>ALERTA</v>
      </c>
      <c r="J11" s="5" t="s">
        <v>26</v>
      </c>
    </row>
    <row r="12" customFormat="false" ht="15" hidden="false" customHeight="false" outlineLevel="0" collapsed="false">
      <c r="A12" s="9" t="s">
        <v>4</v>
      </c>
      <c r="B12" s="9" t="s">
        <v>27</v>
      </c>
      <c r="C12" s="10" t="n">
        <v>210</v>
      </c>
      <c r="D12" s="10" t="n">
        <v>35.7</v>
      </c>
      <c r="E12" s="10" t="n">
        <v>29.9</v>
      </c>
      <c r="F12" s="11" t="n">
        <f aca="false">INDEX(Custos!$B$2:$B$7,MATCH(A12,Custos!$A$2:$A$7,0))</f>
        <v>142</v>
      </c>
      <c r="G12" s="12" t="n">
        <f aca="false">C12-D12-E12-F12</f>
        <v>2.40000000000001</v>
      </c>
      <c r="H12" s="13" t="n">
        <f aca="false">G12/C12</f>
        <v>0.0114285714285715</v>
      </c>
      <c r="I12" s="6" t="str">
        <f aca="false">IF(OR(H12&lt;$B$7,G12&lt;0),"ALERTA","OK")</f>
        <v>ALERTA</v>
      </c>
      <c r="J12" s="5" t="s">
        <v>28</v>
      </c>
    </row>
    <row r="13" customFormat="false" ht="15" hidden="false" customHeight="false" outlineLevel="0" collapsed="false">
      <c r="A13" s="9" t="s">
        <v>5</v>
      </c>
      <c r="B13" s="9" t="s">
        <v>29</v>
      </c>
      <c r="C13" s="10" t="n">
        <v>140</v>
      </c>
      <c r="D13" s="10" t="n">
        <v>23.8</v>
      </c>
      <c r="E13" s="10" t="n">
        <v>27.4</v>
      </c>
      <c r="F13" s="11" t="n">
        <f aca="false">INDEX(Custos!$B$2:$B$7,MATCH(A13,Custos!$A$2:$A$7,0))</f>
        <v>100</v>
      </c>
      <c r="G13" s="12" t="n">
        <f aca="false">C13-D13-E13-F13</f>
        <v>-11.2</v>
      </c>
      <c r="H13" s="13" t="n">
        <f aca="false">G13/C13</f>
        <v>-0.0799999999999999</v>
      </c>
      <c r="I13" s="6" t="str">
        <f aca="false">IF(OR(H13&lt;$B$7,G13&lt;0),"ALERTA","OK")</f>
        <v>ALERTA</v>
      </c>
      <c r="J13" s="5" t="s">
        <v>30</v>
      </c>
    </row>
    <row r="14" customFormat="false" ht="15" hidden="false" customHeight="false" outlineLevel="0" collapsed="false">
      <c r="A14" s="9" t="s">
        <v>6</v>
      </c>
      <c r="B14" s="9" t="s">
        <v>31</v>
      </c>
      <c r="C14" s="10" t="n">
        <v>280</v>
      </c>
      <c r="D14" s="10" t="n">
        <v>47.6</v>
      </c>
      <c r="E14" s="10" t="n">
        <v>34.1</v>
      </c>
      <c r="F14" s="11" t="n">
        <f aca="false">INDEX(Custos!$B$2:$B$7,MATCH(A14,Custos!$A$2:$A$7,0))</f>
        <v>165</v>
      </c>
      <c r="G14" s="12" t="n">
        <f aca="false">C14-D14-E14-F14</f>
        <v>33.3</v>
      </c>
      <c r="H14" s="13" t="n">
        <f aca="false">G14/C14</f>
        <v>0.118928571428571</v>
      </c>
      <c r="I14" s="6" t="str">
        <f aca="false">IF(OR(H14&lt;$B$7,G14&lt;0),"ALERTA","OK")</f>
        <v>OK</v>
      </c>
      <c r="J14" s="5" t="s">
        <v>32</v>
      </c>
    </row>
    <row r="15" customFormat="false" ht="15" hidden="false" customHeight="false" outlineLevel="0" collapsed="false">
      <c r="A15" s="9" t="s">
        <v>7</v>
      </c>
      <c r="B15" s="9" t="s">
        <v>33</v>
      </c>
      <c r="C15" s="10" t="n">
        <v>70</v>
      </c>
      <c r="D15" s="10" t="n">
        <v>11.9</v>
      </c>
      <c r="E15" s="10" t="n">
        <v>0</v>
      </c>
      <c r="F15" s="11" t="n">
        <f aca="false">INDEX(Custos!$B$2:$B$7,MATCH(A15,Custos!$A$2:$A$7,0))</f>
        <v>62</v>
      </c>
      <c r="G15" s="12" t="n">
        <f aca="false">C15-D15-E15-F15</f>
        <v>-3.9</v>
      </c>
      <c r="H15" s="13" t="n">
        <f aca="false">G15/C15</f>
        <v>-0.0557142857142857</v>
      </c>
      <c r="I15" s="6" t="str">
        <f aca="false">IF(OR(H15&lt;$B$7,G15&lt;0),"ALERTA","OK")</f>
        <v>ALERTA</v>
      </c>
      <c r="J15" s="5" t="s">
        <v>34</v>
      </c>
    </row>
    <row r="17" customFormat="false" ht="15" hidden="false" customHeight="false" outlineLevel="0" collapsed="false">
      <c r="A17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2026-10-06T01:11:07Z</dcterms:created>
  <dc:creator>openpyxl</dc:creator>
  <dc:description/>
  <dc:language>en-US</dc:language>
  <cp:lastModifiedBy/>
  <dcterms:modified xsi:type="dcterms:W3CDTF">2026-10-06T01:11:07Z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